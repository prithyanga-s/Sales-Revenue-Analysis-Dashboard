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400" yWindow="130" windowWidth="13380" windowHeight="4090" activeTab="2"/>
  </bookViews>
  <sheets>
    <sheet name="sale data" sheetId="1" r:id="rId1"/>
    <sheet name="analysis" sheetId="2" r:id="rId2"/>
    <sheet name="dashboard" sheetId="3" r:id="rId3"/>
  </sheets>
  <calcPr calcId="125725"/>
  <pivotCaches>
    <pivotCache cacheId="10" r:id="rId4"/>
  </pivotCaches>
</workbook>
</file>

<file path=xl/calcChain.xml><?xml version="1.0" encoding="utf-8"?>
<calcChain xmlns="http://schemas.openxmlformats.org/spreadsheetml/2006/main">
  <c r="B4" i="2"/>
  <c r="I5" i="3" s="1"/>
  <c r="B3" i="2"/>
  <c r="E5" i="3" s="1"/>
  <c r="B2" i="2"/>
  <c r="A5" i="3" s="1"/>
  <c r="B5" i="2" l="1"/>
  <c r="L5" i="3" s="1"/>
</calcChain>
</file>

<file path=xl/sharedStrings.xml><?xml version="1.0" encoding="utf-8"?>
<sst xmlns="http://schemas.openxmlformats.org/spreadsheetml/2006/main" count="263" uniqueCount="87">
  <si>
    <t>Order ID</t>
  </si>
  <si>
    <t>Order Date</t>
  </si>
  <si>
    <t>Product</t>
  </si>
  <si>
    <t>Category</t>
  </si>
  <si>
    <t>Region</t>
  </si>
  <si>
    <t>Salesperson</t>
  </si>
  <si>
    <t>Quantity</t>
  </si>
  <si>
    <t>Unit Price</t>
  </si>
  <si>
    <t>Revenue</t>
  </si>
  <si>
    <t>ORD001</t>
  </si>
  <si>
    <t>Laptop</t>
  </si>
  <si>
    <t>Electronics</t>
  </si>
  <si>
    <t>North</t>
  </si>
  <si>
    <t>Arun</t>
  </si>
  <si>
    <t>ORD002</t>
  </si>
  <si>
    <t>Smartphone</t>
  </si>
  <si>
    <t>South</t>
  </si>
  <si>
    <t>Priya</t>
  </si>
  <si>
    <t>ORD003</t>
  </si>
  <si>
    <t>Headphones</t>
  </si>
  <si>
    <t>East</t>
  </si>
  <si>
    <t>Rahul</t>
  </si>
  <si>
    <t>ORD004</t>
  </si>
  <si>
    <t>Office Chair</t>
  </si>
  <si>
    <t>Furniture</t>
  </si>
  <si>
    <t>West</t>
  </si>
  <si>
    <t>Divya</t>
  </si>
  <si>
    <t>ORD005</t>
  </si>
  <si>
    <t>Desk</t>
  </si>
  <si>
    <t>ORD006</t>
  </si>
  <si>
    <t>Tablet</t>
  </si>
  <si>
    <t>ORD007</t>
  </si>
  <si>
    <t>Monitor</t>
  </si>
  <si>
    <t>ORD008</t>
  </si>
  <si>
    <t>Keyboard</t>
  </si>
  <si>
    <t>ORD009</t>
  </si>
  <si>
    <t>Mouse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</si>
  <si>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</si>
  <si>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</si>
  <si>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</si>
  <si>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</si>
  <si>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</si>
  <si>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</si>
  <si>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</si>
  <si>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</si>
  <si>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</si>
  <si>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</si>
  <si>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</si>
  <si>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</si>
  <si>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</si>
  <si>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</si>
  <si>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</si>
  <si>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</si>
  <si>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</si>
  <si>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</si>
  <si>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</si>
  <si>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</si>
  <si>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</si>
  <si>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</si>
  <si>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</si>
  <si>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</si>
  <si>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</si>
  <si>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</si>
  <si>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</si>
  <si>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</si>
  <si>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</si>
  <si>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</si>
  <si>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</si>
  <si>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KPI</t>
  </si>
  <si>
    <t>Value</t>
  </si>
  <si>
    <t>Total Revenue</t>
  </si>
  <si>
    <t>Total Quantity</t>
  </si>
  <si>
    <t>Total Orders</t>
  </si>
  <si>
    <t>Average Order Value</t>
  </si>
  <si>
    <t>Row Labels</t>
  </si>
  <si>
    <t>Grand Total</t>
  </si>
  <si>
    <t>Sum of Revenue</t>
  </si>
  <si>
    <t>Jan</t>
  </si>
  <si>
    <t>Feb</t>
  </si>
  <si>
    <t>Mar</t>
  </si>
  <si>
    <t>Apr</t>
  </si>
  <si>
    <t>May</t>
  </si>
  <si>
    <t>Jun</t>
  </si>
  <si>
    <t>Jul</t>
  </si>
  <si>
    <t>SALES &amp; REVENUE ANALYSIS DASHBOARD</t>
  </si>
  <si>
    <t>(All)</t>
  </si>
  <si>
    <t xml:space="preserve">Track Sales | Analyze Trends | Discover Opportunities       </t>
  </si>
</sst>
</file>

<file path=xl/styles.xml><?xml version="1.0" encoding="utf-8"?>
<styleSheet xmlns="http://schemas.openxmlformats.org/spreadsheetml/2006/main">
  <numFmts count="1">
    <numFmt numFmtId="172" formatCode="&quot;₹&quot;\ 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8" tint="0.7999816888943144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2" borderId="0" xfId="0" applyFill="1"/>
    <xf numFmtId="0" fontId="1" fillId="2" borderId="0" xfId="0" applyFont="1" applyFill="1"/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/>
    <xf numFmtId="172" fontId="3" fillId="6" borderId="0" xfId="0" applyNumberFormat="1" applyFont="1" applyFill="1"/>
    <xf numFmtId="0" fontId="0" fillId="6" borderId="0" xfId="0" applyFill="1"/>
    <xf numFmtId="0" fontId="3" fillId="6" borderId="0" xfId="0" applyFont="1" applyFill="1"/>
    <xf numFmtId="0" fontId="1" fillId="6" borderId="0" xfId="0" applyFont="1" applyFill="1"/>
    <xf numFmtId="0" fontId="4" fillId="5" borderId="0" xfId="0" applyFont="1" applyFill="1" applyAlignment="1">
      <alignment horizont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33"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numFmt numFmtId="19" formatCode="dd/mm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[task 1.xlsx]analysis!PivotTable4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 BY PRODUCT</a:t>
            </a:r>
          </a:p>
        </c:rich>
      </c:tx>
      <c:layout/>
    </c:title>
    <c:pivotFmts>
      <c:pivotFmt>
        <c:idx val="0"/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analysis!$E$1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analysis!$D$2:$D$11</c:f>
              <c:strCache>
                <c:ptCount val="9"/>
                <c:pt idx="0">
                  <c:v>Desk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Office Chair</c:v>
                </c:pt>
                <c:pt idx="7">
                  <c:v>Smartphone</c:v>
                </c:pt>
                <c:pt idx="8">
                  <c:v>Tablet</c:v>
                </c:pt>
              </c:strCache>
            </c:strRef>
          </c:cat>
          <c:val>
            <c:numRef>
              <c:f>analysis!$E$2:$E$11</c:f>
              <c:numCache>
                <c:formatCode>General</c:formatCode>
                <c:ptCount val="9"/>
                <c:pt idx="0">
                  <c:v>120000</c:v>
                </c:pt>
                <c:pt idx="1">
                  <c:v>87000</c:v>
                </c:pt>
                <c:pt idx="2">
                  <c:v>70000</c:v>
                </c:pt>
                <c:pt idx="3">
                  <c:v>420000</c:v>
                </c:pt>
                <c:pt idx="4">
                  <c:v>140000</c:v>
                </c:pt>
                <c:pt idx="5">
                  <c:v>43200</c:v>
                </c:pt>
                <c:pt idx="6">
                  <c:v>114000</c:v>
                </c:pt>
                <c:pt idx="7">
                  <c:v>320000</c:v>
                </c:pt>
                <c:pt idx="8">
                  <c:v>285000</c:v>
                </c:pt>
              </c:numCache>
            </c:numRef>
          </c:val>
        </c:ser>
        <c:axId val="87860736"/>
        <c:axId val="87862272"/>
      </c:barChart>
      <c:catAx>
        <c:axId val="87860736"/>
        <c:scaling>
          <c:orientation val="minMax"/>
        </c:scaling>
        <c:axPos val="l"/>
        <c:tickLblPos val="nextTo"/>
        <c:crossAx val="87862272"/>
        <c:crosses val="autoZero"/>
        <c:auto val="1"/>
        <c:lblAlgn val="ctr"/>
        <c:lblOffset val="100"/>
      </c:catAx>
      <c:valAx>
        <c:axId val="87862272"/>
        <c:scaling>
          <c:orientation val="minMax"/>
        </c:scaling>
        <c:axPos val="b"/>
        <c:majorGridlines/>
        <c:numFmt formatCode="General" sourceLinked="1"/>
        <c:tickLblPos val="nextTo"/>
        <c:crossAx val="878607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 1.xlsx]analysis!PivotTable3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</a:t>
            </a:r>
            <a:r>
              <a:rPr lang="en-US" baseline="0"/>
              <a:t> BY MONTH</a:t>
            </a:r>
          </a:p>
        </c:rich>
      </c:tx>
      <c:layout>
        <c:manualLayout>
          <c:xMode val="edge"/>
          <c:yMode val="edge"/>
          <c:x val="0.27261811023622046"/>
          <c:y val="3.2407407407407406E-2"/>
        </c:manualLayout>
      </c:layout>
    </c:title>
    <c:pivotFmts>
      <c:pivotFmt>
        <c:idx val="0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analysis!$H$1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analysis!$G$2:$G$9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analysis!$H$2:$H$9</c:f>
              <c:numCache>
                <c:formatCode>General</c:formatCode>
                <c:ptCount val="7"/>
                <c:pt idx="0">
                  <c:v>473000</c:v>
                </c:pt>
                <c:pt idx="1">
                  <c:v>217200</c:v>
                </c:pt>
                <c:pt idx="2">
                  <c:v>253400</c:v>
                </c:pt>
                <c:pt idx="3">
                  <c:v>262000</c:v>
                </c:pt>
                <c:pt idx="4">
                  <c:v>152000</c:v>
                </c:pt>
                <c:pt idx="5">
                  <c:v>130000</c:v>
                </c:pt>
                <c:pt idx="6">
                  <c:v>111600</c:v>
                </c:pt>
              </c:numCache>
            </c:numRef>
          </c:val>
        </c:ser>
        <c:marker val="1"/>
        <c:axId val="136889088"/>
        <c:axId val="136890624"/>
      </c:lineChart>
      <c:catAx>
        <c:axId val="136889088"/>
        <c:scaling>
          <c:orientation val="minMax"/>
        </c:scaling>
        <c:axPos val="b"/>
        <c:tickLblPos val="nextTo"/>
        <c:crossAx val="136890624"/>
        <c:crosses val="autoZero"/>
        <c:auto val="1"/>
        <c:lblAlgn val="ctr"/>
        <c:lblOffset val="100"/>
      </c:catAx>
      <c:valAx>
        <c:axId val="136890624"/>
        <c:scaling>
          <c:orientation val="minMax"/>
        </c:scaling>
        <c:axPos val="l"/>
        <c:majorGridlines/>
        <c:numFmt formatCode="General" sourceLinked="1"/>
        <c:tickLblPos val="nextTo"/>
        <c:crossAx val="1368890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 1.xlsx]analysis!PivotTable5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</a:t>
            </a:r>
            <a:r>
              <a:rPr lang="en-US" baseline="0"/>
              <a:t> BY CATEGORY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analysis!$K$1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analysis!$J$2:$J$4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analysis!$K$2:$K$4</c:f>
              <c:numCache>
                <c:formatCode>General</c:formatCode>
                <c:ptCount val="2"/>
                <c:pt idx="0">
                  <c:v>1365200</c:v>
                </c:pt>
                <c:pt idx="1">
                  <c:v>234000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 1.xlsx]analysis!PivotTable6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</a:t>
            </a:r>
            <a:r>
              <a:rPr lang="en-US" baseline="0"/>
              <a:t> BY REGION</a:t>
            </a:r>
            <a:endParaRPr lang="en-US"/>
          </a:p>
        </c:rich>
      </c:tx>
      <c:layout>
        <c:manualLayout>
          <c:xMode val="edge"/>
          <c:yMode val="edge"/>
          <c:x val="0.29281528662420381"/>
          <c:y val="2.7777777777777776E-2"/>
        </c:manualLayout>
      </c:layout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analysis!$N$1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analysis!$M$2:$M$6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analysis!$N$2:$N$6</c:f>
              <c:numCache>
                <c:formatCode>General</c:formatCode>
                <c:ptCount val="4"/>
                <c:pt idx="0">
                  <c:v>332000</c:v>
                </c:pt>
                <c:pt idx="1">
                  <c:v>292600</c:v>
                </c:pt>
                <c:pt idx="2">
                  <c:v>452200</c:v>
                </c:pt>
                <c:pt idx="3">
                  <c:v>522400</c:v>
                </c:pt>
              </c:numCache>
            </c:numRef>
          </c:val>
        </c:ser>
        <c:axId val="123138048"/>
        <c:axId val="123141120"/>
      </c:barChart>
      <c:catAx>
        <c:axId val="123138048"/>
        <c:scaling>
          <c:orientation val="minMax"/>
        </c:scaling>
        <c:axPos val="b"/>
        <c:tickLblPos val="nextTo"/>
        <c:crossAx val="123141120"/>
        <c:crosses val="autoZero"/>
        <c:auto val="1"/>
        <c:lblAlgn val="ctr"/>
        <c:lblOffset val="100"/>
      </c:catAx>
      <c:valAx>
        <c:axId val="123141120"/>
        <c:scaling>
          <c:orientation val="minMax"/>
        </c:scaling>
        <c:axPos val="l"/>
        <c:majorGridlines/>
        <c:numFmt formatCode="General" sourceLinked="1"/>
        <c:tickLblPos val="nextTo"/>
        <c:crossAx val="1231380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[task 1.xlsx]analysis!PivotTable4</c:name>
    <c:fmtId val="2"/>
  </c:pivotSource>
  <c:chart>
    <c:title>
      <c:tx>
        <c:rich>
          <a:bodyPr/>
          <a:lstStyle/>
          <a:p>
            <a:pPr algn="r">
              <a:defRPr>
                <a:solidFill>
                  <a:schemeClr val="tx2">
                    <a:lumMod val="50000"/>
                  </a:schemeClr>
                </a:solidFill>
              </a:defRPr>
            </a:pPr>
            <a:r>
              <a:rPr lang="en-US">
                <a:solidFill>
                  <a:schemeClr val="tx2">
                    <a:lumMod val="50000"/>
                  </a:schemeClr>
                </a:solidFill>
              </a:rPr>
              <a:t>REVENUE BY PRODUCT</a:t>
            </a:r>
          </a:p>
        </c:rich>
      </c:tx>
      <c:layout/>
      <c:spPr>
        <a:solidFill>
          <a:schemeClr val="accent5">
            <a:lumMod val="20000"/>
            <a:lumOff val="80000"/>
          </a:schemeClr>
        </a:solidFill>
      </c:spPr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9679300391138741"/>
          <c:y val="0.27028326647848266"/>
          <c:w val="0.61121150528635115"/>
          <c:h val="0.57844847224285645"/>
        </c:manualLayout>
      </c:layout>
      <c:barChart>
        <c:barDir val="bar"/>
        <c:grouping val="clustered"/>
        <c:ser>
          <c:idx val="0"/>
          <c:order val="0"/>
          <c:tx>
            <c:strRef>
              <c:f>analysis!$E$1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analysis!$D$2:$D$11</c:f>
              <c:strCache>
                <c:ptCount val="9"/>
                <c:pt idx="0">
                  <c:v>Desk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Office Chair</c:v>
                </c:pt>
                <c:pt idx="7">
                  <c:v>Smartphone</c:v>
                </c:pt>
                <c:pt idx="8">
                  <c:v>Tablet</c:v>
                </c:pt>
              </c:strCache>
            </c:strRef>
          </c:cat>
          <c:val>
            <c:numRef>
              <c:f>analysis!$E$2:$E$11</c:f>
              <c:numCache>
                <c:formatCode>General</c:formatCode>
                <c:ptCount val="9"/>
                <c:pt idx="0">
                  <c:v>120000</c:v>
                </c:pt>
                <c:pt idx="1">
                  <c:v>87000</c:v>
                </c:pt>
                <c:pt idx="2">
                  <c:v>70000</c:v>
                </c:pt>
                <c:pt idx="3">
                  <c:v>420000</c:v>
                </c:pt>
                <c:pt idx="4">
                  <c:v>140000</c:v>
                </c:pt>
                <c:pt idx="5">
                  <c:v>43200</c:v>
                </c:pt>
                <c:pt idx="6">
                  <c:v>114000</c:v>
                </c:pt>
                <c:pt idx="7">
                  <c:v>320000</c:v>
                </c:pt>
                <c:pt idx="8">
                  <c:v>285000</c:v>
                </c:pt>
              </c:numCache>
            </c:numRef>
          </c:val>
        </c:ser>
        <c:axId val="145812096"/>
        <c:axId val="136241536"/>
      </c:barChart>
      <c:catAx>
        <c:axId val="145812096"/>
        <c:scaling>
          <c:orientation val="minMax"/>
        </c:scaling>
        <c:axPos val="l"/>
        <c:tickLblPos val="nextTo"/>
        <c:crossAx val="136241536"/>
        <c:crosses val="autoZero"/>
        <c:auto val="1"/>
        <c:lblAlgn val="ctr"/>
        <c:lblOffset val="100"/>
      </c:catAx>
      <c:valAx>
        <c:axId val="136241536"/>
        <c:scaling>
          <c:orientation val="minMax"/>
        </c:scaling>
        <c:axPos val="b"/>
        <c:majorGridlines/>
        <c:numFmt formatCode="General" sourceLinked="1"/>
        <c:tickLblPos val="nextTo"/>
        <c:crossAx val="145812096"/>
        <c:crosses val="autoZero"/>
        <c:crossBetween val="between"/>
      </c:valAx>
    </c:plotArea>
    <c:plotVisOnly val="1"/>
  </c:chart>
  <c:spPr>
    <a:solidFill>
      <a:schemeClr val="accent1">
        <a:lumMod val="20000"/>
        <a:lumOff val="80000"/>
      </a:schemeClr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 1.xlsx]analysis!PivotTable3</c:name>
    <c:fmtId val="2"/>
  </c:pivotSource>
  <c:chart>
    <c:title>
      <c:tx>
        <c:rich>
          <a:bodyPr/>
          <a:lstStyle/>
          <a:p>
            <a:pPr>
              <a:defRPr>
                <a:solidFill>
                  <a:schemeClr val="tx2">
                    <a:lumMod val="50000"/>
                  </a:schemeClr>
                </a:solidFill>
              </a:defRPr>
            </a:pPr>
            <a:r>
              <a:rPr lang="en-US">
                <a:solidFill>
                  <a:schemeClr val="tx2">
                    <a:lumMod val="50000"/>
                  </a:schemeClr>
                </a:solidFill>
              </a:rPr>
              <a:t>REVENUE</a:t>
            </a:r>
            <a:r>
              <a:rPr lang="en-US" baseline="0">
                <a:solidFill>
                  <a:schemeClr val="tx2">
                    <a:lumMod val="50000"/>
                  </a:schemeClr>
                </a:solidFill>
              </a:rPr>
              <a:t> BY MONTH</a:t>
            </a:r>
          </a:p>
        </c:rich>
      </c:tx>
      <c:layout>
        <c:manualLayout>
          <c:xMode val="edge"/>
          <c:yMode val="edge"/>
          <c:x val="0.12690715986083134"/>
          <c:y val="3.2407269845986235E-2"/>
        </c:manualLayout>
      </c:layout>
      <c:spPr>
        <a:solidFill>
          <a:schemeClr val="accent5">
            <a:lumMod val="20000"/>
            <a:lumOff val="80000"/>
          </a:schemeClr>
        </a:solidFill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analysis!$H$1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analysis!$G$2:$G$9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analysis!$H$2:$H$9</c:f>
              <c:numCache>
                <c:formatCode>General</c:formatCode>
                <c:ptCount val="7"/>
                <c:pt idx="0">
                  <c:v>473000</c:v>
                </c:pt>
                <c:pt idx="1">
                  <c:v>217200</c:v>
                </c:pt>
                <c:pt idx="2">
                  <c:v>253400</c:v>
                </c:pt>
                <c:pt idx="3">
                  <c:v>262000</c:v>
                </c:pt>
                <c:pt idx="4">
                  <c:v>152000</c:v>
                </c:pt>
                <c:pt idx="5">
                  <c:v>130000</c:v>
                </c:pt>
                <c:pt idx="6">
                  <c:v>111600</c:v>
                </c:pt>
              </c:numCache>
            </c:numRef>
          </c:val>
        </c:ser>
        <c:marker val="1"/>
        <c:axId val="136231168"/>
        <c:axId val="145793792"/>
      </c:lineChart>
      <c:catAx>
        <c:axId val="136231168"/>
        <c:scaling>
          <c:orientation val="minMax"/>
        </c:scaling>
        <c:axPos val="b"/>
        <c:tickLblPos val="nextTo"/>
        <c:crossAx val="145793792"/>
        <c:crosses val="autoZero"/>
        <c:auto val="1"/>
        <c:lblAlgn val="ctr"/>
        <c:lblOffset val="100"/>
      </c:catAx>
      <c:valAx>
        <c:axId val="145793792"/>
        <c:scaling>
          <c:orientation val="minMax"/>
        </c:scaling>
        <c:axPos val="l"/>
        <c:majorGridlines/>
        <c:numFmt formatCode="General" sourceLinked="1"/>
        <c:tickLblPos val="nextTo"/>
        <c:crossAx val="136231168"/>
        <c:crosses val="autoZero"/>
        <c:crossBetween val="between"/>
      </c:valAx>
    </c:plotArea>
    <c:plotVisOnly val="1"/>
  </c:chart>
  <c:spPr>
    <a:solidFill>
      <a:schemeClr val="accent1">
        <a:lumMod val="20000"/>
        <a:lumOff val="80000"/>
      </a:schemeClr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 1.xlsx]analysis!PivotTable5</c:name>
    <c:fmtId val="2"/>
  </c:pivotSource>
  <c:chart>
    <c:title>
      <c:tx>
        <c:rich>
          <a:bodyPr/>
          <a:lstStyle/>
          <a:p>
            <a:pPr>
              <a:defRPr>
                <a:solidFill>
                  <a:schemeClr val="tx2">
                    <a:lumMod val="50000"/>
                  </a:schemeClr>
                </a:solidFill>
              </a:defRPr>
            </a:pPr>
            <a:r>
              <a:rPr lang="en-US">
                <a:solidFill>
                  <a:schemeClr val="tx2">
                    <a:lumMod val="50000"/>
                  </a:schemeClr>
                </a:solidFill>
              </a:rPr>
              <a:t>REVENUE</a:t>
            </a:r>
            <a:r>
              <a:rPr lang="en-US" baseline="0">
                <a:solidFill>
                  <a:schemeClr val="tx2">
                    <a:lumMod val="50000"/>
                  </a:schemeClr>
                </a:solidFill>
              </a:rPr>
              <a:t> BY CATEGORY</a:t>
            </a:r>
          </a:p>
        </c:rich>
      </c:tx>
      <c:layout/>
      <c:spPr>
        <a:solidFill>
          <a:schemeClr val="accent5">
            <a:lumMod val="20000"/>
            <a:lumOff val="80000"/>
          </a:schemeClr>
        </a:solidFill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analysis!$K$1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analysis!$J$2:$J$4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analysis!$K$2:$K$4</c:f>
              <c:numCache>
                <c:formatCode>General</c:formatCode>
                <c:ptCount val="2"/>
                <c:pt idx="0">
                  <c:v>1365200</c:v>
                </c:pt>
                <c:pt idx="1">
                  <c:v>234000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spPr>
    <a:solidFill>
      <a:schemeClr val="accent1">
        <a:lumMod val="20000"/>
        <a:lumOff val="80000"/>
      </a:schemeClr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 1.xlsx]analysis!PivotTable6</c:name>
    <c:fmtId val="2"/>
  </c:pivotSource>
  <c:chart>
    <c:title>
      <c:tx>
        <c:rich>
          <a:bodyPr/>
          <a:lstStyle/>
          <a:p>
            <a:pPr>
              <a:defRPr>
                <a:solidFill>
                  <a:schemeClr val="tx2">
                    <a:lumMod val="50000"/>
                  </a:schemeClr>
                </a:solidFill>
              </a:defRPr>
            </a:pPr>
            <a:r>
              <a:rPr lang="en-US">
                <a:solidFill>
                  <a:schemeClr val="tx2">
                    <a:lumMod val="50000"/>
                  </a:schemeClr>
                </a:solidFill>
              </a:rPr>
              <a:t>REVENUE</a:t>
            </a:r>
            <a:r>
              <a:rPr lang="en-US" baseline="0">
                <a:solidFill>
                  <a:schemeClr val="tx2">
                    <a:lumMod val="50000"/>
                  </a:schemeClr>
                </a:solidFill>
              </a:rPr>
              <a:t> BY REGION</a:t>
            </a:r>
            <a:endParaRPr lang="en-US">
              <a:solidFill>
                <a:schemeClr val="tx2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14319634703196346"/>
          <c:y val="4.8467553624762419E-2"/>
        </c:manualLayout>
      </c:layout>
      <c:spPr>
        <a:solidFill>
          <a:schemeClr val="accent5">
            <a:lumMod val="20000"/>
            <a:lumOff val="80000"/>
          </a:schemeClr>
        </a:solidFill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analysis!$N$1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analysis!$M$2:$M$6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analysis!$N$2:$N$6</c:f>
              <c:numCache>
                <c:formatCode>General</c:formatCode>
                <c:ptCount val="4"/>
                <c:pt idx="0">
                  <c:v>332000</c:v>
                </c:pt>
                <c:pt idx="1">
                  <c:v>292600</c:v>
                </c:pt>
                <c:pt idx="2">
                  <c:v>452200</c:v>
                </c:pt>
                <c:pt idx="3">
                  <c:v>522400</c:v>
                </c:pt>
              </c:numCache>
            </c:numRef>
          </c:val>
        </c:ser>
        <c:axId val="136746112"/>
        <c:axId val="136747648"/>
      </c:barChart>
      <c:catAx>
        <c:axId val="136746112"/>
        <c:scaling>
          <c:orientation val="minMax"/>
        </c:scaling>
        <c:axPos val="b"/>
        <c:tickLblPos val="nextTo"/>
        <c:crossAx val="136747648"/>
        <c:crosses val="autoZero"/>
        <c:auto val="1"/>
        <c:lblAlgn val="ctr"/>
        <c:lblOffset val="100"/>
      </c:catAx>
      <c:valAx>
        <c:axId val="136747648"/>
        <c:scaling>
          <c:orientation val="minMax"/>
        </c:scaling>
        <c:axPos val="l"/>
        <c:majorGridlines/>
        <c:numFmt formatCode="General" sourceLinked="1"/>
        <c:tickLblPos val="nextTo"/>
        <c:crossAx val="136746112"/>
        <c:crosses val="autoZero"/>
        <c:crossBetween val="between"/>
      </c:valAx>
    </c:plotArea>
    <c:plotVisOnly val="1"/>
  </c:chart>
  <c:spPr>
    <a:solidFill>
      <a:schemeClr val="accent1">
        <a:lumMod val="20000"/>
        <a:lumOff val="80000"/>
      </a:schemeClr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152400</xdr:rowOff>
    </xdr:from>
    <xdr:to>
      <xdr:col>6</xdr:col>
      <xdr:colOff>755650</xdr:colOff>
      <xdr:row>26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406400</xdr:colOff>
      <xdr:row>29</xdr:row>
      <xdr:rowOff>171450</xdr:rowOff>
    </xdr:from>
    <xdr:to>
      <xdr:col>13</xdr:col>
      <xdr:colOff>88900</xdr:colOff>
      <xdr:row>44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120650</xdr:colOff>
      <xdr:row>29</xdr:row>
      <xdr:rowOff>12700</xdr:rowOff>
    </xdr:from>
    <xdr:to>
      <xdr:col>6</xdr:col>
      <xdr:colOff>857250</xdr:colOff>
      <xdr:row>43</xdr:row>
      <xdr:rowOff>177800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304800</xdr:colOff>
      <xdr:row>12</xdr:row>
      <xdr:rowOff>12700</xdr:rowOff>
    </xdr:from>
    <xdr:to>
      <xdr:col>13</xdr:col>
      <xdr:colOff>400050</xdr:colOff>
      <xdr:row>26</xdr:row>
      <xdr:rowOff>177800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6</xdr:row>
      <xdr:rowOff>44450</xdr:rowOff>
    </xdr:from>
    <xdr:to>
      <xdr:col>6</xdr:col>
      <xdr:colOff>431800</xdr:colOff>
      <xdr:row>18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501650</xdr:colOff>
      <xdr:row>6</xdr:row>
      <xdr:rowOff>44450</xdr:rowOff>
    </xdr:from>
    <xdr:to>
      <xdr:col>14</xdr:col>
      <xdr:colOff>6350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18</xdr:row>
      <xdr:rowOff>76200</xdr:rowOff>
    </xdr:from>
    <xdr:to>
      <xdr:col>6</xdr:col>
      <xdr:colOff>438150</xdr:colOff>
      <xdr:row>28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495300</xdr:colOff>
      <xdr:row>18</xdr:row>
      <xdr:rowOff>69850</xdr:rowOff>
    </xdr:from>
    <xdr:to>
      <xdr:col>14</xdr:col>
      <xdr:colOff>12700</xdr:colOff>
      <xdr:row>28</xdr:row>
      <xdr:rowOff>69850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ith" refreshedDate="46274.887481944446" createdVersion="3" refreshedVersion="3" minRefreshableVersion="3" recordCount="40">
  <cacheSource type="worksheet">
    <worksheetSource name="Table1"/>
  </cacheSource>
  <cacheFields count="9">
    <cacheField name="Order ID" numFmtId="0">
      <sharedItems/>
    </cacheField>
    <cacheField name="Order Date" numFmtId="14">
      <sharedItems containsSemiMixedTypes="0" containsNonDate="0" containsDate="1" containsString="0" minDate="2026-01-05T00:00:00" maxDate="2026-07-26T00:00:00" count="40">
        <d v="2026-01-05T00:00:00"/>
        <d v="2026-01-08T00:00:00"/>
        <d v="2026-01-12T00:00:00"/>
        <d v="2026-01-15T00:00:00"/>
        <d v="2026-01-20T00:00:00"/>
        <d v="2026-01-25T00:00:00"/>
        <d v="2026-02-03T00:00:00"/>
        <d v="2026-02-07T00:00:00"/>
        <d v="2026-02-10T00:00:00"/>
        <d v="2026-02-15T00:00:00"/>
        <d v="2026-02-20T00:00:00"/>
        <d v="2026-02-25T00:00:00"/>
        <d v="2026-03-02T00:00:00"/>
        <d v="2026-03-06T00:00:00"/>
        <d v="2026-03-10T00:00:00"/>
        <d v="2026-03-15T00:00:00"/>
        <d v="2026-03-20T00:00:00"/>
        <d v="2026-03-25T00:00:00"/>
        <d v="2026-04-03T00:00:00"/>
        <d v="2026-04-08T00:00:00"/>
        <d v="2026-04-12T00:00:00"/>
        <d v="2026-04-16T00:00:00"/>
        <d v="2026-04-20T00:00:00"/>
        <d v="2026-04-25T00:00:00"/>
        <d v="2026-05-02T00:00:00"/>
        <d v="2026-05-07T00:00:00"/>
        <d v="2026-05-12T00:00:00"/>
        <d v="2026-05-17T00:00:00"/>
        <d v="2026-05-22T00:00:00"/>
        <d v="2026-05-27T00:00:00"/>
        <d v="2026-06-03T00:00:00"/>
        <d v="2026-06-08T00:00:00"/>
        <d v="2026-06-13T00:00:00"/>
        <d v="2026-06-18T00:00:00"/>
        <d v="2026-06-23T00:00:00"/>
        <d v="2026-07-02T00:00:00"/>
        <d v="2026-07-08T00:00:00"/>
        <d v="2026-07-14T00:00:00"/>
        <d v="2026-07-20T00:00:00"/>
        <d v="2026-07-25T00:00:00"/>
      </sharedItems>
      <fieldGroup base="1">
        <rangePr groupBy="months" startDate="2026-01-05T00:00:00" endDate="2026-07-26T00:00:00"/>
        <groupItems count="14">
          <s v="&lt;05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7-2026"/>
        </groupItems>
      </fieldGroup>
    </cacheField>
    <cacheField name="Product" numFmtId="0">
      <sharedItems count="9">
        <s v="Laptop"/>
        <s v="Smartphone"/>
        <s v="Headphones"/>
        <s v="Office Chair"/>
        <s v="Desk"/>
        <s v="Tablet"/>
        <s v="Monitor"/>
        <s v="Keyboard"/>
        <s v="Mouse"/>
      </sharedItems>
    </cacheField>
    <cacheField name="Category" numFmtId="0">
      <sharedItems count="2">
        <s v="Electronics"/>
        <s v="Furniture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Quantity" numFmtId="0">
      <sharedItems containsSemiMixedTypes="0" containsString="0" containsNumber="1" containsInteger="1" minValue="1" maxValue="12"/>
    </cacheField>
    <cacheField name="Unit Price" numFmtId="0">
      <sharedItems containsSemiMixedTypes="0" containsString="0" containsNumber="1" containsInteger="1" minValue="1200" maxValue="30000"/>
    </cacheField>
    <cacheField name="Revenue" numFmtId="0">
      <sharedItems containsSemiMixedTypes="0" containsString="0" containsNumber="1" containsInteger="1" minValue="6000" maxValue="1500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s v="ORD001"/>
    <x v="0"/>
    <x v="0"/>
    <x v="0"/>
    <x v="0"/>
    <s v="Arun"/>
    <n v="5"/>
    <n v="30000"/>
    <n v="150000"/>
  </r>
  <r>
    <s v="ORD002"/>
    <x v="1"/>
    <x v="1"/>
    <x v="0"/>
    <x v="1"/>
    <s v="Priya"/>
    <n v="6"/>
    <n v="20000"/>
    <n v="120000"/>
  </r>
  <r>
    <s v="ORD003"/>
    <x v="2"/>
    <x v="2"/>
    <x v="0"/>
    <x v="2"/>
    <s v="Rahul"/>
    <n v="10"/>
    <n v="3000"/>
    <n v="30000"/>
  </r>
  <r>
    <s v="ORD004"/>
    <x v="3"/>
    <x v="3"/>
    <x v="1"/>
    <x v="3"/>
    <s v="Divya"/>
    <n v="6"/>
    <n v="6000"/>
    <n v="36000"/>
  </r>
  <r>
    <s v="ORD005"/>
    <x v="4"/>
    <x v="4"/>
    <x v="1"/>
    <x v="0"/>
    <s v="Arun"/>
    <n v="4"/>
    <n v="8000"/>
    <n v="32000"/>
  </r>
  <r>
    <s v="ORD006"/>
    <x v="5"/>
    <x v="5"/>
    <x v="0"/>
    <x v="1"/>
    <s v="Priya"/>
    <n v="7"/>
    <n v="15000"/>
    <n v="105000"/>
  </r>
  <r>
    <s v="ORD007"/>
    <x v="6"/>
    <x v="6"/>
    <x v="0"/>
    <x v="2"/>
    <s v="Rahul"/>
    <n v="5"/>
    <n v="10000"/>
    <n v="50000"/>
  </r>
  <r>
    <s v="ORD008"/>
    <x v="7"/>
    <x v="7"/>
    <x v="0"/>
    <x v="3"/>
    <s v="Divya"/>
    <n v="12"/>
    <n v="2000"/>
    <n v="24000"/>
  </r>
  <r>
    <s v="ORD009"/>
    <x v="8"/>
    <x v="8"/>
    <x v="0"/>
    <x v="0"/>
    <s v="Arun"/>
    <n v="6"/>
    <n v="1200"/>
    <n v="7200"/>
  </r>
  <r>
    <s v="ORD010"/>
    <x v="9"/>
    <x v="0"/>
    <x v="0"/>
    <x v="1"/>
    <s v="Priya"/>
    <n v="3"/>
    <n v="30000"/>
    <n v="90000"/>
  </r>
  <r>
    <s v="ORD011"/>
    <x v="10"/>
    <x v="3"/>
    <x v="1"/>
    <x v="2"/>
    <s v="Rahul"/>
    <n v="5"/>
    <n v="6000"/>
    <n v="30000"/>
  </r>
  <r>
    <s v="ORD012"/>
    <x v="11"/>
    <x v="4"/>
    <x v="1"/>
    <x v="3"/>
    <s v="Divya"/>
    <n v="2"/>
    <n v="8000"/>
    <n v="16000"/>
  </r>
  <r>
    <s v="ORD013"/>
    <x v="12"/>
    <x v="1"/>
    <x v="0"/>
    <x v="0"/>
    <s v="Arun"/>
    <n v="4"/>
    <n v="20000"/>
    <n v="80000"/>
  </r>
  <r>
    <s v="ORD014"/>
    <x v="13"/>
    <x v="5"/>
    <x v="0"/>
    <x v="1"/>
    <s v="Priya"/>
    <n v="5"/>
    <n v="15000"/>
    <n v="75000"/>
  </r>
  <r>
    <s v="ORD015"/>
    <x v="14"/>
    <x v="2"/>
    <x v="0"/>
    <x v="2"/>
    <s v="Rahul"/>
    <n v="8"/>
    <n v="3000"/>
    <n v="24000"/>
  </r>
  <r>
    <s v="ORD016"/>
    <x v="15"/>
    <x v="6"/>
    <x v="0"/>
    <x v="3"/>
    <s v="Divya"/>
    <n v="4"/>
    <n v="10000"/>
    <n v="40000"/>
  </r>
  <r>
    <s v="ORD017"/>
    <x v="16"/>
    <x v="7"/>
    <x v="0"/>
    <x v="0"/>
    <s v="Arun"/>
    <n v="10"/>
    <n v="2000"/>
    <n v="20000"/>
  </r>
  <r>
    <s v="ORD018"/>
    <x v="17"/>
    <x v="8"/>
    <x v="0"/>
    <x v="1"/>
    <s v="Priya"/>
    <n v="12"/>
    <n v="1200"/>
    <n v="14400"/>
  </r>
  <r>
    <s v="ORD019"/>
    <x v="18"/>
    <x v="0"/>
    <x v="0"/>
    <x v="2"/>
    <s v="Rahul"/>
    <n v="2"/>
    <n v="30000"/>
    <n v="60000"/>
  </r>
  <r>
    <s v="ORD020"/>
    <x v="19"/>
    <x v="3"/>
    <x v="1"/>
    <x v="3"/>
    <s v="Divya"/>
    <n v="4"/>
    <n v="6000"/>
    <n v="24000"/>
  </r>
  <r>
    <s v="ORD021"/>
    <x v="20"/>
    <x v="4"/>
    <x v="1"/>
    <x v="0"/>
    <s v="Arun"/>
    <n v="5"/>
    <n v="8000"/>
    <n v="40000"/>
  </r>
  <r>
    <s v="ORD022"/>
    <x v="21"/>
    <x v="1"/>
    <x v="0"/>
    <x v="1"/>
    <s v="Priya"/>
    <n v="3"/>
    <n v="20000"/>
    <n v="60000"/>
  </r>
  <r>
    <s v="ORD023"/>
    <x v="22"/>
    <x v="5"/>
    <x v="0"/>
    <x v="2"/>
    <s v="Rahul"/>
    <n v="4"/>
    <n v="15000"/>
    <n v="60000"/>
  </r>
  <r>
    <s v="ORD024"/>
    <x v="23"/>
    <x v="2"/>
    <x v="0"/>
    <x v="3"/>
    <s v="Divya"/>
    <n v="6"/>
    <n v="3000"/>
    <n v="18000"/>
  </r>
  <r>
    <s v="ORD025"/>
    <x v="24"/>
    <x v="6"/>
    <x v="0"/>
    <x v="0"/>
    <s v="Arun"/>
    <n v="3"/>
    <n v="10000"/>
    <n v="30000"/>
  </r>
  <r>
    <s v="ORD026"/>
    <x v="25"/>
    <x v="7"/>
    <x v="0"/>
    <x v="1"/>
    <s v="Priya"/>
    <n v="8"/>
    <n v="2000"/>
    <n v="16000"/>
  </r>
  <r>
    <s v="ORD027"/>
    <x v="26"/>
    <x v="8"/>
    <x v="0"/>
    <x v="2"/>
    <s v="Rahul"/>
    <n v="10"/>
    <n v="1200"/>
    <n v="12000"/>
  </r>
  <r>
    <s v="ORD028"/>
    <x v="27"/>
    <x v="0"/>
    <x v="0"/>
    <x v="3"/>
    <s v="Divya"/>
    <n v="2"/>
    <n v="30000"/>
    <n v="60000"/>
  </r>
  <r>
    <s v="ORD029"/>
    <x v="28"/>
    <x v="3"/>
    <x v="1"/>
    <x v="0"/>
    <s v="Arun"/>
    <n v="3"/>
    <n v="6000"/>
    <n v="18000"/>
  </r>
  <r>
    <s v="ORD030"/>
    <x v="29"/>
    <x v="4"/>
    <x v="1"/>
    <x v="1"/>
    <s v="Priya"/>
    <n v="2"/>
    <n v="8000"/>
    <n v="16000"/>
  </r>
  <r>
    <s v="ORD031"/>
    <x v="30"/>
    <x v="1"/>
    <x v="0"/>
    <x v="2"/>
    <s v="Rahul"/>
    <n v="2"/>
    <n v="20000"/>
    <n v="40000"/>
  </r>
  <r>
    <s v="ORD032"/>
    <x v="31"/>
    <x v="5"/>
    <x v="0"/>
    <x v="3"/>
    <s v="Divya"/>
    <n v="3"/>
    <n v="15000"/>
    <n v="45000"/>
  </r>
  <r>
    <s v="ORD033"/>
    <x v="32"/>
    <x v="2"/>
    <x v="0"/>
    <x v="0"/>
    <s v="Arun"/>
    <n v="5"/>
    <n v="3000"/>
    <n v="15000"/>
  </r>
  <r>
    <s v="ORD034"/>
    <x v="33"/>
    <x v="6"/>
    <x v="0"/>
    <x v="1"/>
    <s v="Priya"/>
    <n v="2"/>
    <n v="10000"/>
    <n v="20000"/>
  </r>
  <r>
    <s v="ORD035"/>
    <x v="34"/>
    <x v="7"/>
    <x v="0"/>
    <x v="2"/>
    <s v="Rahul"/>
    <n v="5"/>
    <n v="2000"/>
    <n v="10000"/>
  </r>
  <r>
    <s v="ORD036"/>
    <x v="35"/>
    <x v="8"/>
    <x v="0"/>
    <x v="3"/>
    <s v="Divya"/>
    <n v="8"/>
    <n v="1200"/>
    <n v="9600"/>
  </r>
  <r>
    <s v="ORD037"/>
    <x v="36"/>
    <x v="0"/>
    <x v="0"/>
    <x v="0"/>
    <s v="Arun"/>
    <n v="2"/>
    <n v="30000"/>
    <n v="60000"/>
  </r>
  <r>
    <s v="ORD038"/>
    <x v="37"/>
    <x v="3"/>
    <x v="1"/>
    <x v="1"/>
    <s v="Priya"/>
    <n v="1"/>
    <n v="6000"/>
    <n v="6000"/>
  </r>
  <r>
    <s v="ORD039"/>
    <x v="38"/>
    <x v="4"/>
    <x v="1"/>
    <x v="2"/>
    <s v="Rahul"/>
    <n v="2"/>
    <n v="8000"/>
    <n v="16000"/>
  </r>
  <r>
    <s v="ORD040"/>
    <x v="39"/>
    <x v="1"/>
    <x v="0"/>
    <x v="3"/>
    <s v="Divya"/>
    <n v="1"/>
    <n v="20000"/>
    <n v="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M1:N6" firstHeaderRow="1" firstDataRow="1" firstDataCol="1"/>
  <pivotFields count="9">
    <pivotField showAll="0"/>
    <pivotField numFmtId="14"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5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J1:K4" firstHeaderRow="1" firstDataRow="1" firstDataCol="1"/>
  <pivotFields count="9">
    <pivotField showAll="0"/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Revenue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G1:H9" firstHeaderRow="1" firstDataRow="1" firstDataCol="1"/>
  <pivotFields count="9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D1:E11" firstHeaderRow="1" firstDataRow="1" firstDataCol="1"/>
  <pivotFields count="9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0">
        <item x="4"/>
        <item x="2"/>
        <item x="7"/>
        <item x="0"/>
        <item x="6"/>
        <item x="8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Revenue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0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I8" firstHeaderRow="0" firstDataRow="0" firstDataCol="0" rowPageCount="1" colPageCount="1"/>
  <pivotFields count="9">
    <pivotField showAll="0"/>
    <pivotField numFmtId="14"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pageFields count="1">
    <pageField fld="3" hier="-1"/>
  </pageFields>
  <formats count="2">
    <format dxfId="27">
      <pivotArea field="3" type="button" dataOnly="0" labelOnly="1" outline="0" axis="axisPage" fieldPosition="0"/>
    </format>
    <format dxfId="26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9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E8" firstHeaderRow="0" firstDataRow="0" firstDataCol="0" rowPageCount="1" colPageCount="1"/>
  <pivotFields count="9">
    <pivotField showAll="0"/>
    <pivotField axis="axisPage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pageFields count="1">
    <pageField fld="1" hier="-1"/>
  </pageFields>
  <formats count="2">
    <format dxfId="29">
      <pivotArea field="1" type="button" dataOnly="0" labelOnly="1" outline="0" axis="axisPage" fieldPosition="0"/>
    </format>
    <format dxfId="28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8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8" firstHeaderRow="0" firstDataRow="0" firstDataCol="0" rowPageCount="1" colPageCount="1"/>
  <pivotFields count="9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10">
        <item x="4"/>
        <item x="2"/>
        <item x="7"/>
        <item x="0"/>
        <item x="6"/>
        <item x="8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pageFields count="1">
    <pageField fld="2" hier="-1"/>
  </pageFields>
  <formats count="2">
    <format dxfId="31">
      <pivotArea field="2" type="button" dataOnly="0" labelOnly="1" outline="0" axis="axisPage" fieldPosition="0"/>
    </format>
    <format dxfId="30">
      <pivotArea dataOnly="0" labelOnly="1" outline="0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7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L8" firstHeaderRow="0" firstDataRow="0" firstDataCol="0" rowPageCount="1" colPageCount="1"/>
  <pivotFields count="9">
    <pivotField showAll="0"/>
    <pivotField numFmtId="14"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</pivotFields>
  <pageFields count="1">
    <pageField fld="4" hier="-1"/>
  </pageFields>
  <formats count="2">
    <format dxfId="10">
      <pivotArea field="4" type="button" dataOnly="0" labelOnly="1" outline="0" axis="axisPage" fieldPosition="0"/>
    </format>
    <format dxfId="11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I41" totalsRowShown="0">
  <autoFilter ref="A1:I41"/>
  <tableColumns count="9">
    <tableColumn id="1" name="Order ID"/>
    <tableColumn id="2" name="Order Date" dataDxfId="32"/>
    <tableColumn id="3" name="Product"/>
    <tableColumn id="4" name="Category"/>
    <tableColumn id="5" name="Region"/>
    <tableColumn id="6" name="Salesperson"/>
    <tableColumn id="7" name="Quantity"/>
    <tableColumn id="8" name="Unit Price"/>
    <tableColumn id="9" name="Reven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selection activeCell="N11" sqref="N11"/>
    </sheetView>
  </sheetViews>
  <sheetFormatPr defaultRowHeight="14.5"/>
  <cols>
    <col min="1" max="1" width="10" customWidth="1"/>
    <col min="2" max="2" width="13.54296875" customWidth="1"/>
    <col min="3" max="3" width="9.26953125" customWidth="1"/>
    <col min="4" max="4" width="10.1796875" customWidth="1"/>
    <col min="6" max="6" width="12.81640625" customWidth="1"/>
    <col min="7" max="7" width="10" customWidth="1"/>
    <col min="8" max="8" width="10.7265625" customWidth="1"/>
    <col min="9" max="9" width="10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46027</v>
      </c>
      <c r="C2" t="s">
        <v>10</v>
      </c>
      <c r="D2" t="s">
        <v>11</v>
      </c>
      <c r="E2" t="s">
        <v>12</v>
      </c>
      <c r="F2" t="s">
        <v>13</v>
      </c>
      <c r="G2">
        <v>5</v>
      </c>
      <c r="H2">
        <v>30000</v>
      </c>
      <c r="I2">
        <v>150000</v>
      </c>
    </row>
    <row r="3" spans="1:9">
      <c r="A3" t="s">
        <v>14</v>
      </c>
      <c r="B3" s="1">
        <v>46030</v>
      </c>
      <c r="C3" t="s">
        <v>15</v>
      </c>
      <c r="D3" t="s">
        <v>11</v>
      </c>
      <c r="E3" t="s">
        <v>16</v>
      </c>
      <c r="F3" t="s">
        <v>17</v>
      </c>
      <c r="G3">
        <v>6</v>
      </c>
      <c r="H3">
        <v>20000</v>
      </c>
      <c r="I3">
        <v>120000</v>
      </c>
    </row>
    <row r="4" spans="1:9">
      <c r="A4" t="s">
        <v>18</v>
      </c>
      <c r="B4" s="1">
        <v>46034</v>
      </c>
      <c r="C4" t="s">
        <v>19</v>
      </c>
      <c r="D4" t="s">
        <v>11</v>
      </c>
      <c r="E4" t="s">
        <v>20</v>
      </c>
      <c r="F4" t="s">
        <v>21</v>
      </c>
      <c r="G4">
        <v>10</v>
      </c>
      <c r="H4">
        <v>3000</v>
      </c>
      <c r="I4">
        <v>30000</v>
      </c>
    </row>
    <row r="5" spans="1:9">
      <c r="A5" t="s">
        <v>22</v>
      </c>
      <c r="B5" s="1">
        <v>46037</v>
      </c>
      <c r="C5" t="s">
        <v>23</v>
      </c>
      <c r="D5" t="s">
        <v>24</v>
      </c>
      <c r="E5" t="s">
        <v>25</v>
      </c>
      <c r="F5" t="s">
        <v>26</v>
      </c>
      <c r="G5">
        <v>6</v>
      </c>
      <c r="H5">
        <v>6000</v>
      </c>
      <c r="I5">
        <v>36000</v>
      </c>
    </row>
    <row r="6" spans="1:9">
      <c r="A6" t="s">
        <v>27</v>
      </c>
      <c r="B6" s="1">
        <v>46042</v>
      </c>
      <c r="C6" t="s">
        <v>28</v>
      </c>
      <c r="D6" t="s">
        <v>24</v>
      </c>
      <c r="E6" t="s">
        <v>12</v>
      </c>
      <c r="F6" t="s">
        <v>13</v>
      </c>
      <c r="G6">
        <v>4</v>
      </c>
      <c r="H6">
        <v>8000</v>
      </c>
      <c r="I6">
        <v>32000</v>
      </c>
    </row>
    <row r="7" spans="1:9">
      <c r="A7" t="s">
        <v>29</v>
      </c>
      <c r="B7" s="1">
        <v>46047</v>
      </c>
      <c r="C7" t="s">
        <v>30</v>
      </c>
      <c r="D7" t="s">
        <v>11</v>
      </c>
      <c r="E7" t="s">
        <v>16</v>
      </c>
      <c r="F7" t="s">
        <v>17</v>
      </c>
      <c r="G7">
        <v>7</v>
      </c>
      <c r="H7">
        <v>15000</v>
      </c>
      <c r="I7">
        <v>105000</v>
      </c>
    </row>
    <row r="8" spans="1:9">
      <c r="A8" t="s">
        <v>31</v>
      </c>
      <c r="B8" s="1">
        <v>46056</v>
      </c>
      <c r="C8" t="s">
        <v>32</v>
      </c>
      <c r="D8" t="s">
        <v>11</v>
      </c>
      <c r="E8" t="s">
        <v>20</v>
      </c>
      <c r="F8" t="s">
        <v>21</v>
      </c>
      <c r="G8">
        <v>5</v>
      </c>
      <c r="H8">
        <v>10000</v>
      </c>
      <c r="I8">
        <v>50000</v>
      </c>
    </row>
    <row r="9" spans="1:9">
      <c r="A9" t="s">
        <v>33</v>
      </c>
      <c r="B9" s="1">
        <v>46060</v>
      </c>
      <c r="C9" t="s">
        <v>34</v>
      </c>
      <c r="D9" t="s">
        <v>11</v>
      </c>
      <c r="E9" t="s">
        <v>25</v>
      </c>
      <c r="F9" t="s">
        <v>26</v>
      </c>
      <c r="G9">
        <v>12</v>
      </c>
      <c r="H9">
        <v>2000</v>
      </c>
      <c r="I9">
        <v>24000</v>
      </c>
    </row>
    <row r="10" spans="1:9">
      <c r="A10" t="s">
        <v>35</v>
      </c>
      <c r="B10" s="1">
        <v>46063</v>
      </c>
      <c r="C10" t="s">
        <v>36</v>
      </c>
      <c r="D10" t="s">
        <v>11</v>
      </c>
      <c r="E10" t="s">
        <v>12</v>
      </c>
      <c r="F10" t="s">
        <v>13</v>
      </c>
      <c r="G10">
        <v>6</v>
      </c>
      <c r="H10">
        <v>1200</v>
      </c>
      <c r="I10">
        <v>7200</v>
      </c>
    </row>
    <row r="11" spans="1:9">
      <c r="A11" t="s">
        <v>37</v>
      </c>
      <c r="B11" s="1">
        <v>46068</v>
      </c>
      <c r="C11" t="s">
        <v>10</v>
      </c>
      <c r="D11" t="s">
        <v>11</v>
      </c>
      <c r="E11" t="s">
        <v>16</v>
      </c>
      <c r="F11" t="s">
        <v>17</v>
      </c>
      <c r="G11">
        <v>3</v>
      </c>
      <c r="H11">
        <v>30000</v>
      </c>
      <c r="I11">
        <v>90000</v>
      </c>
    </row>
    <row r="12" spans="1:9">
      <c r="A12" t="s">
        <v>38</v>
      </c>
      <c r="B12" s="1">
        <v>46073</v>
      </c>
      <c r="C12" t="s">
        <v>23</v>
      </c>
      <c r="D12" t="s">
        <v>24</v>
      </c>
      <c r="E12" t="s">
        <v>20</v>
      </c>
      <c r="F12" t="s">
        <v>21</v>
      </c>
      <c r="G12">
        <v>5</v>
      </c>
      <c r="H12">
        <v>6000</v>
      </c>
      <c r="I12">
        <v>30000</v>
      </c>
    </row>
    <row r="13" spans="1:9">
      <c r="A13" t="s">
        <v>39</v>
      </c>
      <c r="B13" s="1">
        <v>46078</v>
      </c>
      <c r="C13" t="s">
        <v>28</v>
      </c>
      <c r="D13" t="s">
        <v>24</v>
      </c>
      <c r="E13" t="s">
        <v>25</v>
      </c>
      <c r="F13" t="s">
        <v>26</v>
      </c>
      <c r="G13">
        <v>2</v>
      </c>
      <c r="H13">
        <v>8000</v>
      </c>
      <c r="I13">
        <v>16000</v>
      </c>
    </row>
    <row r="14" spans="1:9">
      <c r="A14" t="s">
        <v>40</v>
      </c>
      <c r="B14" s="1">
        <v>46083</v>
      </c>
      <c r="C14" t="s">
        <v>15</v>
      </c>
      <c r="D14" t="s">
        <v>11</v>
      </c>
      <c r="E14" t="s">
        <v>12</v>
      </c>
      <c r="F14" t="s">
        <v>13</v>
      </c>
      <c r="G14">
        <v>4</v>
      </c>
      <c r="H14">
        <v>20000</v>
      </c>
      <c r="I14">
        <v>80000</v>
      </c>
    </row>
    <row r="15" spans="1:9">
      <c r="A15" t="s">
        <v>41</v>
      </c>
      <c r="B15" s="1">
        <v>46087</v>
      </c>
      <c r="C15" t="s">
        <v>30</v>
      </c>
      <c r="D15" t="s">
        <v>11</v>
      </c>
      <c r="E15" t="s">
        <v>16</v>
      </c>
      <c r="F15" t="s">
        <v>17</v>
      </c>
      <c r="G15">
        <v>5</v>
      </c>
      <c r="H15">
        <v>15000</v>
      </c>
      <c r="I15">
        <v>75000</v>
      </c>
    </row>
    <row r="16" spans="1:9">
      <c r="A16" t="s">
        <v>42</v>
      </c>
      <c r="B16" s="1">
        <v>46091</v>
      </c>
      <c r="C16" t="s">
        <v>19</v>
      </c>
      <c r="D16" t="s">
        <v>11</v>
      </c>
      <c r="E16" t="s">
        <v>20</v>
      </c>
      <c r="F16" t="s">
        <v>21</v>
      </c>
      <c r="G16">
        <v>8</v>
      </c>
      <c r="H16">
        <v>3000</v>
      </c>
      <c r="I16">
        <v>24000</v>
      </c>
    </row>
    <row r="17" spans="1:9">
      <c r="A17" t="s">
        <v>43</v>
      </c>
      <c r="B17" s="1">
        <v>46096</v>
      </c>
      <c r="C17" t="s">
        <v>32</v>
      </c>
      <c r="D17" t="s">
        <v>11</v>
      </c>
      <c r="E17" t="s">
        <v>25</v>
      </c>
      <c r="F17" t="s">
        <v>26</v>
      </c>
      <c r="G17">
        <v>4</v>
      </c>
      <c r="H17">
        <v>10000</v>
      </c>
      <c r="I17">
        <v>40000</v>
      </c>
    </row>
    <row r="18" spans="1:9">
      <c r="A18" t="s">
        <v>44</v>
      </c>
      <c r="B18" s="1">
        <v>46101</v>
      </c>
      <c r="C18" t="s">
        <v>34</v>
      </c>
      <c r="D18" t="s">
        <v>11</v>
      </c>
      <c r="E18" t="s">
        <v>12</v>
      </c>
      <c r="F18" t="s">
        <v>13</v>
      </c>
      <c r="G18">
        <v>10</v>
      </c>
      <c r="H18">
        <v>2000</v>
      </c>
      <c r="I18">
        <v>20000</v>
      </c>
    </row>
    <row r="19" spans="1:9">
      <c r="A19" t="s">
        <v>45</v>
      </c>
      <c r="B19" s="1">
        <v>46106</v>
      </c>
      <c r="C19" t="s">
        <v>36</v>
      </c>
      <c r="D19" t="s">
        <v>11</v>
      </c>
      <c r="E19" t="s">
        <v>16</v>
      </c>
      <c r="F19" t="s">
        <v>17</v>
      </c>
      <c r="G19">
        <v>12</v>
      </c>
      <c r="H19">
        <v>1200</v>
      </c>
      <c r="I19">
        <v>14400</v>
      </c>
    </row>
    <row r="20" spans="1:9">
      <c r="A20" t="s">
        <v>46</v>
      </c>
      <c r="B20" s="1">
        <v>46115</v>
      </c>
      <c r="C20" t="s">
        <v>10</v>
      </c>
      <c r="D20" t="s">
        <v>11</v>
      </c>
      <c r="E20" t="s">
        <v>20</v>
      </c>
      <c r="F20" t="s">
        <v>21</v>
      </c>
      <c r="G20">
        <v>2</v>
      </c>
      <c r="H20">
        <v>30000</v>
      </c>
      <c r="I20">
        <v>60000</v>
      </c>
    </row>
    <row r="21" spans="1:9">
      <c r="A21" t="s">
        <v>47</v>
      </c>
      <c r="B21" s="1">
        <v>46120</v>
      </c>
      <c r="C21" t="s">
        <v>23</v>
      </c>
      <c r="D21" t="s">
        <v>24</v>
      </c>
      <c r="E21" t="s">
        <v>25</v>
      </c>
      <c r="F21" t="s">
        <v>26</v>
      </c>
      <c r="G21">
        <v>4</v>
      </c>
      <c r="H21">
        <v>6000</v>
      </c>
      <c r="I21">
        <v>24000</v>
      </c>
    </row>
    <row r="22" spans="1:9">
      <c r="A22" t="s">
        <v>48</v>
      </c>
      <c r="B22" s="1">
        <v>46124</v>
      </c>
      <c r="C22" t="s">
        <v>28</v>
      </c>
      <c r="D22" t="s">
        <v>24</v>
      </c>
      <c r="E22" t="s">
        <v>12</v>
      </c>
      <c r="F22" t="s">
        <v>13</v>
      </c>
      <c r="G22">
        <v>5</v>
      </c>
      <c r="H22">
        <v>8000</v>
      </c>
      <c r="I22">
        <v>40000</v>
      </c>
    </row>
    <row r="23" spans="1:9">
      <c r="A23" t="s">
        <v>49</v>
      </c>
      <c r="B23" s="1">
        <v>46128</v>
      </c>
      <c r="C23" t="s">
        <v>15</v>
      </c>
      <c r="D23" t="s">
        <v>11</v>
      </c>
      <c r="E23" t="s">
        <v>16</v>
      </c>
      <c r="F23" t="s">
        <v>17</v>
      </c>
      <c r="G23">
        <v>3</v>
      </c>
      <c r="H23">
        <v>20000</v>
      </c>
      <c r="I23">
        <v>60000</v>
      </c>
    </row>
    <row r="24" spans="1:9">
      <c r="A24" t="s">
        <v>50</v>
      </c>
      <c r="B24" s="1">
        <v>46132</v>
      </c>
      <c r="C24" t="s">
        <v>30</v>
      </c>
      <c r="D24" t="s">
        <v>11</v>
      </c>
      <c r="E24" t="s">
        <v>20</v>
      </c>
      <c r="F24" t="s">
        <v>21</v>
      </c>
      <c r="G24">
        <v>4</v>
      </c>
      <c r="H24">
        <v>15000</v>
      </c>
      <c r="I24">
        <v>60000</v>
      </c>
    </row>
    <row r="25" spans="1:9">
      <c r="A25" t="s">
        <v>51</v>
      </c>
      <c r="B25" s="1">
        <v>46137</v>
      </c>
      <c r="C25" t="s">
        <v>19</v>
      </c>
      <c r="D25" t="s">
        <v>11</v>
      </c>
      <c r="E25" t="s">
        <v>25</v>
      </c>
      <c r="F25" t="s">
        <v>26</v>
      </c>
      <c r="G25">
        <v>6</v>
      </c>
      <c r="H25">
        <v>3000</v>
      </c>
      <c r="I25">
        <v>18000</v>
      </c>
    </row>
    <row r="26" spans="1:9">
      <c r="A26" t="s">
        <v>52</v>
      </c>
      <c r="B26" s="1">
        <v>46144</v>
      </c>
      <c r="C26" t="s">
        <v>32</v>
      </c>
      <c r="D26" t="s">
        <v>11</v>
      </c>
      <c r="E26" t="s">
        <v>12</v>
      </c>
      <c r="F26" t="s">
        <v>13</v>
      </c>
      <c r="G26">
        <v>3</v>
      </c>
      <c r="H26">
        <v>10000</v>
      </c>
      <c r="I26">
        <v>30000</v>
      </c>
    </row>
    <row r="27" spans="1:9">
      <c r="A27" t="s">
        <v>53</v>
      </c>
      <c r="B27" s="1">
        <v>46149</v>
      </c>
      <c r="C27" t="s">
        <v>34</v>
      </c>
      <c r="D27" t="s">
        <v>11</v>
      </c>
      <c r="E27" t="s">
        <v>16</v>
      </c>
      <c r="F27" t="s">
        <v>17</v>
      </c>
      <c r="G27">
        <v>8</v>
      </c>
      <c r="H27">
        <v>2000</v>
      </c>
      <c r="I27">
        <v>16000</v>
      </c>
    </row>
    <row r="28" spans="1:9">
      <c r="A28" t="s">
        <v>54</v>
      </c>
      <c r="B28" s="1">
        <v>46154</v>
      </c>
      <c r="C28" t="s">
        <v>36</v>
      </c>
      <c r="D28" t="s">
        <v>11</v>
      </c>
      <c r="E28" t="s">
        <v>20</v>
      </c>
      <c r="F28" t="s">
        <v>21</v>
      </c>
      <c r="G28">
        <v>10</v>
      </c>
      <c r="H28">
        <v>1200</v>
      </c>
      <c r="I28">
        <v>12000</v>
      </c>
    </row>
    <row r="29" spans="1:9">
      <c r="A29" t="s">
        <v>55</v>
      </c>
      <c r="B29" s="1">
        <v>46159</v>
      </c>
      <c r="C29" t="s">
        <v>10</v>
      </c>
      <c r="D29" t="s">
        <v>11</v>
      </c>
      <c r="E29" t="s">
        <v>25</v>
      </c>
      <c r="F29" t="s">
        <v>26</v>
      </c>
      <c r="G29">
        <v>2</v>
      </c>
      <c r="H29">
        <v>30000</v>
      </c>
      <c r="I29">
        <v>60000</v>
      </c>
    </row>
    <row r="30" spans="1:9">
      <c r="A30" t="s">
        <v>56</v>
      </c>
      <c r="B30" s="1">
        <v>46164</v>
      </c>
      <c r="C30" t="s">
        <v>23</v>
      </c>
      <c r="D30" t="s">
        <v>24</v>
      </c>
      <c r="E30" t="s">
        <v>12</v>
      </c>
      <c r="F30" t="s">
        <v>13</v>
      </c>
      <c r="G30">
        <v>3</v>
      </c>
      <c r="H30">
        <v>6000</v>
      </c>
      <c r="I30">
        <v>18000</v>
      </c>
    </row>
    <row r="31" spans="1:9">
      <c r="A31" t="s">
        <v>57</v>
      </c>
      <c r="B31" s="1">
        <v>46169</v>
      </c>
      <c r="C31" t="s">
        <v>28</v>
      </c>
      <c r="D31" t="s">
        <v>24</v>
      </c>
      <c r="E31" t="s">
        <v>16</v>
      </c>
      <c r="F31" t="s">
        <v>17</v>
      </c>
      <c r="G31">
        <v>2</v>
      </c>
      <c r="H31">
        <v>8000</v>
      </c>
      <c r="I31">
        <v>16000</v>
      </c>
    </row>
    <row r="32" spans="1:9">
      <c r="A32" t="s">
        <v>58</v>
      </c>
      <c r="B32" s="1">
        <v>46176</v>
      </c>
      <c r="C32" t="s">
        <v>15</v>
      </c>
      <c r="D32" t="s">
        <v>11</v>
      </c>
      <c r="E32" t="s">
        <v>20</v>
      </c>
      <c r="F32" t="s">
        <v>21</v>
      </c>
      <c r="G32">
        <v>2</v>
      </c>
      <c r="H32">
        <v>20000</v>
      </c>
      <c r="I32">
        <v>40000</v>
      </c>
    </row>
    <row r="33" spans="1:9">
      <c r="A33" t="s">
        <v>59</v>
      </c>
      <c r="B33" s="1">
        <v>46181</v>
      </c>
      <c r="C33" t="s">
        <v>30</v>
      </c>
      <c r="D33" t="s">
        <v>11</v>
      </c>
      <c r="E33" t="s">
        <v>25</v>
      </c>
      <c r="F33" t="s">
        <v>26</v>
      </c>
      <c r="G33">
        <v>3</v>
      </c>
      <c r="H33">
        <v>15000</v>
      </c>
      <c r="I33">
        <v>45000</v>
      </c>
    </row>
    <row r="34" spans="1:9">
      <c r="A34" t="s">
        <v>60</v>
      </c>
      <c r="B34" s="1">
        <v>46186</v>
      </c>
      <c r="C34" t="s">
        <v>19</v>
      </c>
      <c r="D34" t="s">
        <v>11</v>
      </c>
      <c r="E34" t="s">
        <v>12</v>
      </c>
      <c r="F34" t="s">
        <v>13</v>
      </c>
      <c r="G34">
        <v>5</v>
      </c>
      <c r="H34">
        <v>3000</v>
      </c>
      <c r="I34">
        <v>15000</v>
      </c>
    </row>
    <row r="35" spans="1:9">
      <c r="A35" t="s">
        <v>61</v>
      </c>
      <c r="B35" s="1">
        <v>46191</v>
      </c>
      <c r="C35" t="s">
        <v>32</v>
      </c>
      <c r="D35" t="s">
        <v>11</v>
      </c>
      <c r="E35" t="s">
        <v>16</v>
      </c>
      <c r="F35" t="s">
        <v>17</v>
      </c>
      <c r="G35">
        <v>2</v>
      </c>
      <c r="H35">
        <v>10000</v>
      </c>
      <c r="I35">
        <v>20000</v>
      </c>
    </row>
    <row r="36" spans="1:9">
      <c r="A36" t="s">
        <v>62</v>
      </c>
      <c r="B36" s="1">
        <v>46196</v>
      </c>
      <c r="C36" t="s">
        <v>34</v>
      </c>
      <c r="D36" t="s">
        <v>11</v>
      </c>
      <c r="E36" t="s">
        <v>20</v>
      </c>
      <c r="F36" t="s">
        <v>21</v>
      </c>
      <c r="G36">
        <v>5</v>
      </c>
      <c r="H36">
        <v>2000</v>
      </c>
      <c r="I36">
        <v>10000</v>
      </c>
    </row>
    <row r="37" spans="1:9">
      <c r="A37" t="s">
        <v>63</v>
      </c>
      <c r="B37" s="1">
        <v>46205</v>
      </c>
      <c r="C37" t="s">
        <v>36</v>
      </c>
      <c r="D37" t="s">
        <v>11</v>
      </c>
      <c r="E37" t="s">
        <v>25</v>
      </c>
      <c r="F37" t="s">
        <v>26</v>
      </c>
      <c r="G37">
        <v>8</v>
      </c>
      <c r="H37">
        <v>1200</v>
      </c>
      <c r="I37">
        <v>9600</v>
      </c>
    </row>
    <row r="38" spans="1:9">
      <c r="A38" t="s">
        <v>64</v>
      </c>
      <c r="B38" s="1">
        <v>46211</v>
      </c>
      <c r="C38" t="s">
        <v>10</v>
      </c>
      <c r="D38" t="s">
        <v>11</v>
      </c>
      <c r="E38" t="s">
        <v>12</v>
      </c>
      <c r="F38" t="s">
        <v>13</v>
      </c>
      <c r="G38">
        <v>2</v>
      </c>
      <c r="H38">
        <v>30000</v>
      </c>
      <c r="I38">
        <v>60000</v>
      </c>
    </row>
    <row r="39" spans="1:9">
      <c r="A39" t="s">
        <v>65</v>
      </c>
      <c r="B39" s="1">
        <v>46217</v>
      </c>
      <c r="C39" t="s">
        <v>23</v>
      </c>
      <c r="D39" t="s">
        <v>24</v>
      </c>
      <c r="E39" t="s">
        <v>16</v>
      </c>
      <c r="F39" t="s">
        <v>17</v>
      </c>
      <c r="G39">
        <v>1</v>
      </c>
      <c r="H39">
        <v>6000</v>
      </c>
      <c r="I39">
        <v>6000</v>
      </c>
    </row>
    <row r="40" spans="1:9">
      <c r="A40" t="s">
        <v>66</v>
      </c>
      <c r="B40" s="1">
        <v>46223</v>
      </c>
      <c r="C40" t="s">
        <v>28</v>
      </c>
      <c r="D40" t="s">
        <v>24</v>
      </c>
      <c r="E40" t="s">
        <v>20</v>
      </c>
      <c r="F40" t="s">
        <v>21</v>
      </c>
      <c r="G40">
        <v>2</v>
      </c>
      <c r="H40">
        <v>8000</v>
      </c>
      <c r="I40">
        <v>16000</v>
      </c>
    </row>
    <row r="41" spans="1:9">
      <c r="A41" t="s">
        <v>67</v>
      </c>
      <c r="B41" s="1">
        <v>46228</v>
      </c>
      <c r="C41" t="s">
        <v>15</v>
      </c>
      <c r="D41" t="s">
        <v>11</v>
      </c>
      <c r="E41" t="s">
        <v>25</v>
      </c>
      <c r="F41" t="s">
        <v>26</v>
      </c>
      <c r="G41">
        <v>1</v>
      </c>
      <c r="H41">
        <v>20000</v>
      </c>
      <c r="I41">
        <v>20000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topLeftCell="B1" workbookViewId="0">
      <selection activeCell="O35" sqref="O35"/>
    </sheetView>
  </sheetViews>
  <sheetFormatPr defaultRowHeight="14.5"/>
  <cols>
    <col min="1" max="1" width="13.36328125" customWidth="1"/>
    <col min="2" max="2" width="9.26953125" customWidth="1"/>
    <col min="4" max="4" width="12.36328125" customWidth="1"/>
    <col min="5" max="5" width="14.36328125" customWidth="1"/>
    <col min="7" max="7" width="12.36328125" customWidth="1"/>
    <col min="8" max="8" width="14.36328125" customWidth="1"/>
    <col min="10" max="10" width="12.36328125" customWidth="1"/>
    <col min="11" max="11" width="14.36328125" customWidth="1"/>
    <col min="13" max="13" width="12.36328125" customWidth="1"/>
    <col min="14" max="14" width="14.36328125" customWidth="1"/>
  </cols>
  <sheetData>
    <row r="1" spans="1:14" ht="15" customHeight="1">
      <c r="A1" t="s">
        <v>68</v>
      </c>
      <c r="B1" s="4" t="s">
        <v>69</v>
      </c>
      <c r="D1" s="3" t="s">
        <v>74</v>
      </c>
      <c r="E1" t="s">
        <v>76</v>
      </c>
      <c r="G1" s="3" t="s">
        <v>74</v>
      </c>
      <c r="H1" t="s">
        <v>76</v>
      </c>
      <c r="J1" s="3" t="s">
        <v>74</v>
      </c>
      <c r="K1" t="s">
        <v>76</v>
      </c>
      <c r="M1" s="3" t="s">
        <v>74</v>
      </c>
      <c r="N1" t="s">
        <v>76</v>
      </c>
    </row>
    <row r="2" spans="1:14">
      <c r="A2" s="2" t="s">
        <v>70</v>
      </c>
      <c r="B2" s="17">
        <f>SUM('sale data'!I2:I41)</f>
        <v>1599200</v>
      </c>
      <c r="D2" s="4" t="s">
        <v>28</v>
      </c>
      <c r="E2" s="5">
        <v>120000</v>
      </c>
      <c r="G2" s="6" t="s">
        <v>77</v>
      </c>
      <c r="H2" s="5">
        <v>473000</v>
      </c>
      <c r="J2" s="4" t="s">
        <v>11</v>
      </c>
      <c r="K2" s="5">
        <v>1365200</v>
      </c>
      <c r="M2" s="4" t="s">
        <v>20</v>
      </c>
      <c r="N2" s="5">
        <v>332000</v>
      </c>
    </row>
    <row r="3" spans="1:14">
      <c r="A3" s="2" t="s">
        <v>71</v>
      </c>
      <c r="B3" s="4">
        <f>SUM('sale data'!G2:G41)</f>
        <v>197</v>
      </c>
      <c r="D3" s="4" t="s">
        <v>19</v>
      </c>
      <c r="E3" s="5">
        <v>87000</v>
      </c>
      <c r="G3" s="6" t="s">
        <v>78</v>
      </c>
      <c r="H3" s="5">
        <v>217200</v>
      </c>
      <c r="J3" s="4" t="s">
        <v>24</v>
      </c>
      <c r="K3" s="5">
        <v>234000</v>
      </c>
      <c r="M3" s="4" t="s">
        <v>25</v>
      </c>
      <c r="N3" s="5">
        <v>292600</v>
      </c>
    </row>
    <row r="4" spans="1:14">
      <c r="A4" s="2" t="s">
        <v>72</v>
      </c>
      <c r="B4" s="4">
        <f>COUNTA('sale data'!A2:A41)</f>
        <v>40</v>
      </c>
      <c r="D4" s="4" t="s">
        <v>34</v>
      </c>
      <c r="E4" s="5">
        <v>70000</v>
      </c>
      <c r="G4" s="6" t="s">
        <v>79</v>
      </c>
      <c r="H4" s="5">
        <v>253400</v>
      </c>
      <c r="J4" s="4" t="s">
        <v>75</v>
      </c>
      <c r="K4" s="5">
        <v>1599200</v>
      </c>
      <c r="M4" s="4" t="s">
        <v>12</v>
      </c>
      <c r="N4" s="5">
        <v>452200</v>
      </c>
    </row>
    <row r="5" spans="1:14" ht="29">
      <c r="A5" s="2" t="s">
        <v>73</v>
      </c>
      <c r="B5" s="4">
        <f>B2/B4</f>
        <v>39980</v>
      </c>
      <c r="D5" s="4" t="s">
        <v>10</v>
      </c>
      <c r="E5" s="5">
        <v>420000</v>
      </c>
      <c r="G5" s="6" t="s">
        <v>80</v>
      </c>
      <c r="H5" s="5">
        <v>262000</v>
      </c>
      <c r="M5" s="4" t="s">
        <v>16</v>
      </c>
      <c r="N5" s="5">
        <v>522400</v>
      </c>
    </row>
    <row r="6" spans="1:14">
      <c r="D6" s="4" t="s">
        <v>32</v>
      </c>
      <c r="E6" s="5">
        <v>140000</v>
      </c>
      <c r="G6" s="6" t="s">
        <v>81</v>
      </c>
      <c r="H6" s="5">
        <v>152000</v>
      </c>
      <c r="M6" s="4" t="s">
        <v>75</v>
      </c>
      <c r="N6" s="5">
        <v>1599200</v>
      </c>
    </row>
    <row r="7" spans="1:14">
      <c r="D7" s="4" t="s">
        <v>36</v>
      </c>
      <c r="E7" s="5">
        <v>43200</v>
      </c>
      <c r="G7" s="6" t="s">
        <v>82</v>
      </c>
      <c r="H7" s="5">
        <v>130000</v>
      </c>
    </row>
    <row r="8" spans="1:14">
      <c r="D8" s="4" t="s">
        <v>23</v>
      </c>
      <c r="E8" s="5">
        <v>114000</v>
      </c>
      <c r="G8" s="6" t="s">
        <v>83</v>
      </c>
      <c r="H8" s="5">
        <v>111600</v>
      </c>
    </row>
    <row r="9" spans="1:14">
      <c r="D9" s="4" t="s">
        <v>15</v>
      </c>
      <c r="E9" s="5">
        <v>320000</v>
      </c>
      <c r="G9" s="6" t="s">
        <v>75</v>
      </c>
      <c r="H9" s="5">
        <v>1599200</v>
      </c>
    </row>
    <row r="10" spans="1:14">
      <c r="D10" s="4" t="s">
        <v>30</v>
      </c>
      <c r="E10" s="5">
        <v>285000</v>
      </c>
    </row>
    <row r="11" spans="1:14">
      <c r="D11" s="4" t="s">
        <v>75</v>
      </c>
      <c r="E11" s="5">
        <v>1599200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>
      <selection activeCell="O10" sqref="O10"/>
    </sheetView>
  </sheetViews>
  <sheetFormatPr defaultRowHeight="14.5"/>
  <cols>
    <col min="1" max="1" width="15.36328125" customWidth="1"/>
    <col min="2" max="2" width="6.453125" customWidth="1"/>
    <col min="3" max="3" width="10.26953125" customWidth="1"/>
    <col min="4" max="4" width="10.08984375" customWidth="1"/>
    <col min="5" max="5" width="10.90625" customWidth="1"/>
    <col min="7" max="7" width="11" customWidth="1"/>
    <col min="8" max="8" width="6.453125" customWidth="1"/>
    <col min="10" max="10" width="12" customWidth="1"/>
    <col min="11" max="11" width="6.453125" customWidth="1"/>
    <col min="12" max="12" width="12.6328125" customWidth="1"/>
    <col min="13" max="13" width="8.7265625" customWidth="1"/>
  </cols>
  <sheetData>
    <row r="1" spans="1:14" ht="14.5" customHeight="1">
      <c r="A1" s="9" t="s">
        <v>84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>
      <c r="A3" s="16" t="s">
        <v>86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>
      <c r="A4" s="8" t="s">
        <v>70</v>
      </c>
      <c r="B4" s="7"/>
      <c r="C4" s="7"/>
      <c r="D4" s="7"/>
      <c r="E4" s="8" t="s">
        <v>71</v>
      </c>
      <c r="F4" s="7"/>
      <c r="G4" s="7"/>
      <c r="H4" s="7"/>
      <c r="I4" s="8" t="s">
        <v>72</v>
      </c>
      <c r="J4" s="8"/>
      <c r="K4" s="7"/>
      <c r="L4" s="8" t="s">
        <v>73</v>
      </c>
      <c r="M4" s="8"/>
      <c r="N4" s="7"/>
    </row>
    <row r="5" spans="1:14" ht="21">
      <c r="A5" s="12">
        <f>analysis!B2</f>
        <v>1599200</v>
      </c>
      <c r="B5" s="13"/>
      <c r="C5" s="13"/>
      <c r="D5" s="13"/>
      <c r="E5" s="14">
        <f>analysis!B3</f>
        <v>197</v>
      </c>
      <c r="F5" s="13"/>
      <c r="G5" s="13"/>
      <c r="H5" s="13"/>
      <c r="I5" s="14">
        <f>analysis!B4</f>
        <v>40</v>
      </c>
      <c r="J5" s="15"/>
      <c r="K5" s="13"/>
      <c r="L5" s="12">
        <f>analysis!B5</f>
        <v>39980</v>
      </c>
      <c r="M5" s="15"/>
      <c r="N5" s="13"/>
    </row>
    <row r="6" spans="1:14">
      <c r="A6" s="11" t="s">
        <v>2</v>
      </c>
      <c r="B6" s="11" t="s">
        <v>85</v>
      </c>
      <c r="C6" s="11"/>
      <c r="D6" s="11"/>
      <c r="E6" s="11" t="s">
        <v>1</v>
      </c>
      <c r="F6" s="11" t="s">
        <v>85</v>
      </c>
      <c r="G6" s="11"/>
      <c r="H6" s="11"/>
      <c r="I6" s="11" t="s">
        <v>3</v>
      </c>
      <c r="J6" s="11" t="s">
        <v>85</v>
      </c>
      <c r="K6" s="11"/>
      <c r="L6" s="11" t="s">
        <v>4</v>
      </c>
      <c r="M6" s="11" t="s">
        <v>85</v>
      </c>
      <c r="N6" s="11"/>
    </row>
  </sheetData>
  <mergeCells count="2">
    <mergeCell ref="A1:N2"/>
    <mergeCell ref="A3:N3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 data</vt:lpstr>
      <vt:lpstr>analysis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</dc:creator>
  <cp:lastModifiedBy>prith</cp:lastModifiedBy>
  <dcterms:created xsi:type="dcterms:W3CDTF">2026-09-09T14:48:24Z</dcterms:created>
  <dcterms:modified xsi:type="dcterms:W3CDTF">2026-09-09T18:53:49Z</dcterms:modified>
</cp:coreProperties>
</file>